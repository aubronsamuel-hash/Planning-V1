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Inventaire" sheetId="1" state="visible" r:id="rId3"/>
    <sheet name="🎯 Catégories" sheetId="2" state="visible" r:id="rId4"/>
    <sheet name="⚠️ Cohérence" sheetId="3" state="visible" r:id="rId5"/>
    <sheet name="✨ Recommandations" sheetId="4" state="visible" r:id="rId6"/>
    <sheet name="📊 Statistiqu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<sst xmlns="http://schemas.openxmlformats.org/spreadsheetml/2006/main" count="308" uniqueCount="200">
  <si>
    <t xml:space="preserve">#</t>
  </si>
  <si>
    <t xml:space="preserve">Fichier</t>
  </si>
  <si>
    <t xml:space="preserve">Titre</t>
  </si>
  <si>
    <t xml:space="preserve">Type</t>
  </si>
  <si>
    <t xml:space="preserve">Mots</t>
  </si>
  <si>
    <t xml:space="preserve">Taille (Ko)</t>
  </si>
  <si>
    <t xml:space="preserve">Sections</t>
  </si>
  <si>
    <t xml:space="preserve">Catégorie</t>
  </si>
  <si>
    <t xml:space="preserve">Statut</t>
  </si>
  <si>
    <t xml:space="preserve">01-vision-concepts.md</t>
  </si>
  <si>
    <t xml:space="preserve">🎭 Vision &amp; Concepts</t>
  </si>
  <si>
    <t xml:space="preserve">Core</t>
  </si>
  <si>
    <t xml:space="preserve">Fondamentaux</t>
  </si>
  <si>
    <t xml:space="preserve">✅ À jour</t>
  </si>
  <si>
    <t xml:space="preserve">02-roles-permissions.md</t>
  </si>
  <si>
    <t xml:space="preserve">👥 Rôles &amp; Permissions</t>
  </si>
  <si>
    <t xml:space="preserve">03-workflows.md</t>
  </si>
  <si>
    <t xml:space="preserve">🔄 Workflows</t>
  </si>
  <si>
    <t xml:space="preserve">Workflows</t>
  </si>
  <si>
    <t xml:space="preserve">04-pages-interfaces-ux.md</t>
  </si>
  <si>
    <t xml:space="preserve">🖥️ Pages &amp; Interfaces</t>
  </si>
  <si>
    <t xml:space="preserve">Frontend</t>
  </si>
  <si>
    <t xml:space="preserve">05-data-models.md</t>
  </si>
  <si>
    <t xml:space="preserve">🗄️ Modèles de données</t>
  </si>
  <si>
    <t xml:space="preserve">Backend</t>
  </si>
  <si>
    <t xml:space="preserve">06-regles-decisions.md</t>
  </si>
  <si>
    <t xml:space="preserve">📋 Règles &amp; Décisions</t>
  </si>
  <si>
    <t xml:space="preserve">Métier</t>
  </si>
  <si>
    <t xml:space="preserve">07-annuaire-collaborateurs.md</t>
  </si>
  <si>
    <t xml:space="preserve">📒 Annuaire Collab.</t>
  </si>
  <si>
    <t xml:space="preserve">Feature</t>
  </si>
  <si>
    <t xml:space="preserve">08-templates-projets.md</t>
  </si>
  <si>
    <t xml:space="preserve">📁 Templates Projets</t>
  </si>
  <si>
    <t xml:space="preserve">09-chef-de-poste-dashboard.md</t>
  </si>
  <si>
    <t xml:space="preserve">🎯 Dashboard Chef</t>
  </si>
  <si>
    <t xml:space="preserve">10-remplacements-urgents.md</t>
  </si>
  <si>
    <t xml:space="preserve">⚡ Remplacements</t>
  </si>
  <si>
    <t xml:space="preserve">11-feuille-de-route-logistique.md</t>
  </si>
  <si>
    <t xml:space="preserve">🗺️ Logistique Terrain</t>
  </si>
  <si>
    <t xml:space="preserve">12-annulations-reports.md</t>
  </si>
  <si>
    <t xml:space="preserve">❌ Annulations</t>
  </si>
  <si>
    <t xml:space="preserve">13-notifications.md</t>
  </si>
  <si>
    <t xml:space="preserve">🔔 Notifications</t>
  </si>
  <si>
    <t xml:space="preserve">14-onboarding.md</t>
  </si>
  <si>
    <t xml:space="preserve">🚀 Onboarding</t>
  </si>
  <si>
    <t xml:space="preserve">15-schema-prisma.md</t>
  </si>
  <si>
    <t xml:space="preserve">🗃️ Schéma Prisma</t>
  </si>
  <si>
    <t xml:space="preserve">Technical</t>
  </si>
  <si>
    <t xml:space="preserve">16-settings-organisation.md</t>
  </si>
  <si>
    <t xml:space="preserve">⚙️ Settings Org</t>
  </si>
  <si>
    <t xml:space="preserve">17-back-office-super-admin.md</t>
  </si>
  <si>
    <t xml:space="preserve">🛠️ Back-office Admin</t>
  </si>
  <si>
    <t xml:space="preserve">18-webhooks-stripe.md</t>
  </si>
  <si>
    <t xml:space="preserve">💳 Webhooks Stripe</t>
  </si>
  <si>
    <t xml:space="preserve">19-module-tournee.md</t>
  </si>
  <si>
    <t xml:space="preserve">🚌 Module Tournée</t>
  </si>
  <si>
    <t xml:space="preserve">20-plans-tarifaires.md</t>
  </si>
  <si>
    <t xml:space="preserve">💳 Plans Tarifaires</t>
  </si>
  <si>
    <t xml:space="preserve">21-cron-jobs.md</t>
  </si>
  <si>
    <t xml:space="preserve">⏰ Cron Jobs</t>
  </si>
  <si>
    <t xml:space="preserve">22-settings-compte.md</t>
  </si>
  <si>
    <t xml:space="preserve">👤 Settings Compte</t>
  </si>
  <si>
    <t xml:space="preserve">23-architecture-technique.md</t>
  </si>
  <si>
    <t xml:space="preserve">🏗️ Architecture Tech</t>
  </si>
  <si>
    <t xml:space="preserve">24-emails-templates.md</t>
  </si>
  <si>
    <t xml:space="preserve">📧 Templates Email</t>
  </si>
  <si>
    <t xml:space="preserve">README.md</t>
  </si>
  <si>
    <t xml:space="preserve">📖 Index Documentation</t>
  </si>
  <si>
    <t xml:space="preserve">SPECIFICATION.md</t>
  </si>
  <si>
    <t xml:space="preserve">📝 Spécification</t>
  </si>
  <si>
    <t xml:space="preserve">Meta</t>
  </si>
  <si>
    <t xml:space="preserve">Référence</t>
  </si>
  <si>
    <t xml:space="preserve">⚠️ Ancienne</t>
  </si>
  <si>
    <t xml:space="preserve">CLAUDE_MEMORY.md</t>
  </si>
  <si>
    <t xml:space="preserve">🧠 Mémoire Claude</t>
  </si>
  <si>
    <t xml:space="preserve">Roadmap de Lancement.md</t>
  </si>
  <si>
    <t xml:space="preserve">🗓️ Roadmap</t>
  </si>
  <si>
    <t xml:space="preserve">Checklist Audit md.md</t>
  </si>
  <si>
    <t xml:space="preserve">✅ Checklist Audit</t>
  </si>
  <si>
    <t xml:space="preserve">CLAUDE.md</t>
  </si>
  <si>
    <t xml:space="preserve">🤖 Guide Claude</t>
  </si>
  <si>
    <t xml:space="preserve">⚠️ Vide</t>
  </si>
  <si>
    <t xml:space="preserve">CATÉGORIE</t>
  </si>
  <si>
    <t xml:space="preserve">COUNT</t>
  </si>
  <si>
    <t xml:space="preserve">DOCS</t>
  </si>
  <si>
    <t xml:space="preserve">TAILLE TOTAL (Ko)</t>
  </si>
  <si>
    <t xml:space="preserve">AVG MOTS</t>
  </si>
  <si>
    <t xml:space="preserve">FOCUS</t>
  </si>
  <si>
    <t xml:space="preserve">01, 02, README</t>
  </si>
  <si>
    <t xml:space="preserve">Vision, rôles, index</t>
  </si>
  <si>
    <t xml:space="preserve">04, 09, 11, 16, 19, 22</t>
  </si>
  <si>
    <t xml:space="preserve">UI/UX design et pages</t>
  </si>
  <si>
    <t xml:space="preserve">05, 13, 15, 17, 18, 20, 21, 23, 24</t>
  </si>
  <si>
    <t xml:space="preserve">Tech, API, data</t>
  </si>
  <si>
    <t xml:space="preserve">03, 10, 12, 14, 06</t>
  </si>
  <si>
    <t xml:space="preserve">Processus métier</t>
  </si>
  <si>
    <t xml:space="preserve">06, 07, 08, 11, 12, 14</t>
  </si>
  <si>
    <t xml:space="preserve">Métier spectacle</t>
  </si>
  <si>
    <t xml:space="preserve">CLAUDE_MEMORY, SPECIFICATION, ROADMAP, CHECKLIST, CLAUDE</t>
  </si>
  <si>
    <t xml:space="preserve">Docs de référence</t>
  </si>
  <si>
    <t xml:space="preserve">Isse Type</t>
  </si>
  <si>
    <t xml:space="preserve">Détails</t>
  </si>
  <si>
    <t xml:space="preserve">Fichiers Affectés</t>
  </si>
  <si>
    <t xml:space="preserve">Sévérité</t>
  </si>
  <si>
    <t xml:space="preserve">Action Recommandée</t>
  </si>
  <si>
    <t xml:space="preserve">Redondance</t>
  </si>
  <si>
    <t xml:space="preserve">Rôles/permissions expliqués dans 02 ET 06 (partiel)</t>
  </si>
  <si>
    <t xml:space="preserve">02, 06</t>
  </si>
  <si>
    <t xml:space="preserve">⚠️ Moyen</t>
  </si>
  <si>
    <t xml:space="preserve">Consolider en créant une matrice unique dans 02</t>
  </si>
  <si>
    <t xml:space="preserve">Notifications expliquées dans 03 ET 13</t>
  </si>
  <si>
    <t xml:space="preserve">03, 13</t>
  </si>
  <si>
    <t xml:space="preserve">Référencer 13 depuis 03, garder détails en 13</t>
  </si>
  <si>
    <t xml:space="preserve">Onboarding dans 03 ET 14</t>
  </si>
  <si>
    <t xml:space="preserve">03, 14</t>
  </si>
  <si>
    <t xml:space="preserve">14 est spécialisée, bien — juste ajouter lien</t>
  </si>
  <si>
    <t xml:space="preserve">Annulations dans 03 ET 12</t>
  </si>
  <si>
    <t xml:space="preserve">03, 12</t>
  </si>
  <si>
    <t xml:space="preserve">12 très détaillée, référencer depuis 03</t>
  </si>
  <si>
    <t xml:space="preserve">Schéma données en 05 ET 15 (Prisma)</t>
  </si>
  <si>
    <t xml:space="preserve">05, 15</t>
  </si>
  <si>
    <t xml:space="preserve">✅ Bas</t>
  </si>
  <si>
    <t xml:space="preserve">Cohérent : 05 vue métier, 15 implémentation</t>
  </si>
  <si>
    <t xml:space="preserve">Ordre logique</t>
  </si>
  <si>
    <t xml:space="preserve">CLAUDE.md vide — à supprimer ou remplir</t>
  </si>
  <si>
    <t xml:space="preserve">Supprimer ou documenter le guide Claude</t>
  </si>
  <si>
    <t xml:space="preserve">SPECIFICATION.md semble ancienne (v1, fichier petit)</t>
  </si>
  <si>
    <t xml:space="preserve">Archiver ou marquer comme dépréciée</t>
  </si>
  <si>
    <t xml:space="preserve">Complétude</t>
  </si>
  <si>
    <t xml:space="preserve">Tous les docs liés au README — excellente découvrabilité</t>
  </si>
  <si>
    <t xml:space="preserve">Tous</t>
  </si>
  <si>
    <t xml:space="preserve">✅ Aucun</t>
  </si>
  <si>
    <t xml:space="preserve">État optimal</t>
  </si>
  <si>
    <t xml:space="preserve">Date version</t>
  </si>
  <si>
    <t xml:space="preserve">README v12.0 du 02/03/2026 — à jour</t>
  </si>
  <si>
    <t xml:space="preserve">Maintenir le système de version</t>
  </si>
  <si>
    <t xml:space="preserve">Traçabilité</t>
  </si>
  <si>
    <t xml:space="preserve">Chaque doc a un lien retour [← Index]</t>
  </si>
  <si>
    <t xml:space="preserve">Continuer ce pattern</t>
  </si>
  <si>
    <t xml:space="preserve">PRIORITÉ</t>
  </si>
  <si>
    <t xml:space="preserve">DOMAINE</t>
  </si>
  <si>
    <t xml:space="preserve">PROBLÈME</t>
  </si>
  <si>
    <t xml:space="preserve">SOLUTION</t>
  </si>
  <si>
    <t xml:space="preserve">IMPACT</t>
  </si>
  <si>
    <t xml:space="preserve">EFFORT</t>
  </si>
  <si>
    <t xml:space="preserve">🔴 HAUTE</t>
  </si>
  <si>
    <t xml:space="preserve">Structureation</t>
  </si>
  <si>
    <t xml:space="preserve">02 et 06 chevauchent Permissions</t>
  </si>
  <si>
    <t xml:space="preserve">Créer matrice unifiée permissions dans 02, référencer depuis 06</t>
  </si>
  <si>
    <t xml:space="preserve">Clarté +40%</t>
  </si>
  <si>
    <t xml:space="preserve">2h</t>
  </si>
  <si>
    <t xml:space="preserve">Navigation</t>
  </si>
  <si>
    <t xml:space="preserve">CLAUDE.md vide pollue l'index</t>
  </si>
  <si>
    <t xml:space="preserve">Supprimer CLAUDE.md OU le documenter (guide d'utilisation Claude)</t>
  </si>
  <si>
    <t xml:space="preserve">Clarté +20%</t>
  </si>
  <si>
    <t xml:space="preserve">1h</t>
  </si>
  <si>
    <t xml:space="preserve">🟡 MOYENNE</t>
  </si>
  <si>
    <t xml:space="preserve">Versions</t>
  </si>
  <si>
    <t xml:space="preserve">SPECIFICATION.md semble obsolète</t>
  </si>
  <si>
    <t xml:space="preserve">Archiver en dossier /archives ou marquer '[DÉPRÉCIÉE]' en titre</t>
  </si>
  <si>
    <t xml:space="preserve">Clarté +15%</t>
  </si>
  <si>
    <t xml:space="preserve">30min</t>
  </si>
  <si>
    <t xml:space="preserve">Croisement</t>
  </si>
  <si>
    <t xml:space="preserve">Workflows (03) et Détails (12, 14, etc.) pas bien séparés</t>
  </si>
  <si>
    <t xml:space="preserve">Ajouter tableau de mappe : Workflow → Docs détaillés correspondantes</t>
  </si>
  <si>
    <t xml:space="preserve">Découvrabilité +30%</t>
  </si>
  <si>
    <t xml:space="preserve">Tech &amp; Archi</t>
  </si>
  <si>
    <t xml:space="preserve">Webhooks (18) pas lié clairement à Architecture (23)</t>
  </si>
  <si>
    <t xml:space="preserve">Ajouter section 23.X 'Intégrations externes' qui référence 18</t>
  </si>
  <si>
    <t xml:space="preserve">Complétude +20%</t>
  </si>
  <si>
    <t xml:space="preserve">🟢 BASSE</t>
  </si>
  <si>
    <t xml:space="preserve">Documentation</t>
  </si>
  <si>
    <t xml:space="preserve">Versions non tracées (sauf README)</t>
  </si>
  <si>
    <t xml:space="preserve">Ajouter ligne 'Version X.X · Date · Statut' à chaque doc</t>
  </si>
  <si>
    <t xml:space="preserve">Maintenabilité +25%</t>
  </si>
  <si>
    <t xml:space="preserve">Édition</t>
  </si>
  <si>
    <t xml:space="preserve">Tableaux de rôles (02) doublonnent les règles (06)</t>
  </si>
  <si>
    <t xml:space="preserve">Consolider : 02 = matrice d'accès, 06 = détail des règles impactées</t>
  </si>
  <si>
    <t xml:space="preserve">Maintenabilité +20%</t>
  </si>
  <si>
    <t xml:space="preserve">UX</t>
  </si>
  <si>
    <t xml:space="preserve">README est bien — mais faire page web HTML statique</t>
  </si>
  <si>
    <t xml:space="preserve">Générer index.html depuis README pour onboarding web rapide</t>
  </si>
  <si>
    <t xml:space="preserve">Accessibilité +30%</t>
  </si>
  <si>
    <t xml:space="preserve">4h</t>
  </si>
  <si>
    <t xml:space="preserve">MÉTRIQUE</t>
  </si>
  <si>
    <t xml:space="preserve">VALEUR</t>
  </si>
  <si>
    <t xml:space="preserve">Total fichiers</t>
  </si>
  <si>
    <t xml:space="preserve">Total mots</t>
  </si>
  <si>
    <t xml:space="preserve">Total taille (Ko)</t>
  </si>
  <si>
    <t xml:space="preserve">Fichiers Core/Feature</t>
  </si>
  <si>
    <t xml:space="preserve">Fichiers Technique</t>
  </si>
  <si>
    <t xml:space="preserve">Fichiers Meta/Référence</t>
  </si>
  <si>
    <t xml:space="preserve">Catégories uniques</t>
  </si>
  <si>
    <t xml:space="preserve">Taux de couverture</t>
  </si>
  <si>
    <t xml:space="preserve">95%</t>
  </si>
  <si>
    <t xml:space="preserve">RÉSUMÉ AUDIT</t>
  </si>
  <si>
    <t xml:space="preserve">✅ Points positifs</t>
  </si>
  <si>
    <t xml:space="preserve">⚠️ Redondances détectées</t>
  </si>
  <si>
    <t xml:space="preserve">🔴 Actions critiques</t>
  </si>
  <si>
    <t xml:space="preserve">📅 Date audit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</si>
</sst>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B050"/>
      <name val="Cambria"/>
      <family val="0"/>
      <charset val="1"/>
    </font>
    <font>
      <sz val="11"/>
      <color rgb="FFFFC0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0AD47"/>
        <bgColor rgb="FF99CC00"/>
      </patternFill>
    </fill>
    <fill>
      <patternFill patternType="solid">
        <fgColor rgb="FFD00000"/>
        <bgColor rgb="FF800000"/>
      </patternFill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4"/>
  </cols>
  <sheetData>
    <row r="1" customFormat="false" ht="24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0" t="s">
        <v>9</v>
      </c>
      <c r="C2" s="0" t="s">
        <v>10</v>
      </c>
      <c r="D2" s="0" t="s">
        <v>11</v>
      </c>
      <c r="E2" s="3" t="n">
        <v>1392</v>
      </c>
      <c r="F2" s="3" t="n">
        <v>8.8</v>
      </c>
      <c r="G2" s="2" t="n">
        <v>2</v>
      </c>
      <c r="H2" s="0" t="s">
        <v>12</v>
      </c>
      <c r="I2" s="4" t="s">
        <v>13</v>
      </c>
    </row>
    <row r="3" customFormat="false" ht="15" hidden="false" customHeight="false" outlineLevel="0" collapsed="false">
      <c r="A3" s="2" t="n">
        <v>2</v>
      </c>
      <c r="B3" s="0" t="s">
        <v>14</v>
      </c>
      <c r="C3" s="0" t="s">
        <v>15</v>
      </c>
      <c r="D3" s="0" t="s">
        <v>11</v>
      </c>
      <c r="E3" s="3" t="n">
        <v>1537</v>
      </c>
      <c r="F3" s="3" t="n">
        <v>9.3</v>
      </c>
      <c r="G3" s="2" t="n">
        <v>2</v>
      </c>
      <c r="H3" s="0" t="s">
        <v>12</v>
      </c>
      <c r="I3" s="4" t="s">
        <v>13</v>
      </c>
    </row>
    <row r="4" customFormat="false" ht="15" hidden="false" customHeight="false" outlineLevel="0" collapsed="false">
      <c r="A4" s="2" t="n">
        <v>3</v>
      </c>
      <c r="B4" s="0" t="s">
        <v>16</v>
      </c>
      <c r="C4" s="0" t="s">
        <v>17</v>
      </c>
      <c r="D4" s="0" t="s">
        <v>11</v>
      </c>
      <c r="E4" s="3" t="n">
        <v>4093</v>
      </c>
      <c r="F4" s="3" t="n">
        <v>32.8</v>
      </c>
      <c r="G4" s="2" t="n">
        <v>1</v>
      </c>
      <c r="H4" s="0" t="s">
        <v>18</v>
      </c>
      <c r="I4" s="4" t="s">
        <v>13</v>
      </c>
    </row>
    <row r="5" customFormat="false" ht="15" hidden="false" customHeight="false" outlineLevel="0" collapsed="false">
      <c r="A5" s="2" t="n">
        <v>4</v>
      </c>
      <c r="B5" s="0" t="s">
        <v>19</v>
      </c>
      <c r="C5" s="0" t="s">
        <v>20</v>
      </c>
      <c r="D5" s="0" t="s">
        <v>11</v>
      </c>
      <c r="E5" s="3" t="n">
        <v>7810</v>
      </c>
      <c r="F5" s="3" t="n">
        <v>86.6</v>
      </c>
      <c r="G5" s="2" t="n">
        <v>3</v>
      </c>
      <c r="H5" s="0" t="s">
        <v>21</v>
      </c>
      <c r="I5" s="4" t="s">
        <v>13</v>
      </c>
    </row>
    <row r="6" customFormat="false" ht="15" hidden="false" customHeight="false" outlineLevel="0" collapsed="false">
      <c r="A6" s="2" t="n">
        <v>5</v>
      </c>
      <c r="B6" s="0" t="s">
        <v>22</v>
      </c>
      <c r="C6" s="0" t="s">
        <v>23</v>
      </c>
      <c r="D6" s="0" t="s">
        <v>11</v>
      </c>
      <c r="E6" s="3" t="n">
        <v>2333</v>
      </c>
      <c r="F6" s="3" t="n">
        <v>18.4</v>
      </c>
      <c r="G6" s="2" t="n">
        <v>1</v>
      </c>
      <c r="H6" s="0" t="s">
        <v>24</v>
      </c>
      <c r="I6" s="4" t="s">
        <v>13</v>
      </c>
    </row>
    <row r="7" customFormat="false" ht="15" hidden="false" customHeight="false" outlineLevel="0" collapsed="false">
      <c r="A7" s="2" t="n">
        <v>6</v>
      </c>
      <c r="B7" s="0" t="s">
        <v>25</v>
      </c>
      <c r="C7" s="0" t="s">
        <v>26</v>
      </c>
      <c r="D7" s="0" t="s">
        <v>11</v>
      </c>
      <c r="E7" s="3" t="n">
        <v>2437</v>
      </c>
      <c r="F7" s="3" t="n">
        <v>16.9</v>
      </c>
      <c r="G7" s="2" t="n">
        <v>2</v>
      </c>
      <c r="H7" s="0" t="s">
        <v>27</v>
      </c>
      <c r="I7" s="4" t="s">
        <v>13</v>
      </c>
    </row>
    <row r="8" customFormat="false" ht="15" hidden="false" customHeight="false" outlineLevel="0" collapsed="false">
      <c r="A8" s="2" t="n">
        <v>7</v>
      </c>
      <c r="B8" s="0" t="s">
        <v>28</v>
      </c>
      <c r="C8" s="0" t="s">
        <v>29</v>
      </c>
      <c r="D8" s="0" t="s">
        <v>30</v>
      </c>
      <c r="E8" s="3" t="n">
        <v>1300</v>
      </c>
      <c r="F8" s="3" t="n">
        <v>13.7</v>
      </c>
      <c r="G8" s="2" t="n">
        <v>1</v>
      </c>
      <c r="H8" s="0" t="s">
        <v>27</v>
      </c>
      <c r="I8" s="4" t="s">
        <v>13</v>
      </c>
    </row>
    <row r="9" customFormat="false" ht="15" hidden="false" customHeight="false" outlineLevel="0" collapsed="false">
      <c r="A9" s="2" t="n">
        <v>8</v>
      </c>
      <c r="B9" s="0" t="s">
        <v>31</v>
      </c>
      <c r="C9" s="0" t="s">
        <v>32</v>
      </c>
      <c r="D9" s="0" t="s">
        <v>30</v>
      </c>
      <c r="E9" s="3" t="n">
        <v>821</v>
      </c>
      <c r="F9" s="3" t="n">
        <v>7.7</v>
      </c>
      <c r="G9" s="2" t="n">
        <v>1</v>
      </c>
      <c r="H9" s="0" t="s">
        <v>27</v>
      </c>
      <c r="I9" s="4" t="s">
        <v>13</v>
      </c>
    </row>
    <row r="10" customFormat="false" ht="15" hidden="false" customHeight="false" outlineLevel="0" collapsed="false">
      <c r="A10" s="2" t="n">
        <v>9</v>
      </c>
      <c r="B10" s="0" t="s">
        <v>33</v>
      </c>
      <c r="C10" s="0" t="s">
        <v>34</v>
      </c>
      <c r="D10" s="0" t="s">
        <v>30</v>
      </c>
      <c r="E10" s="3" t="n">
        <v>1282</v>
      </c>
      <c r="F10" s="3" t="n">
        <v>9.8</v>
      </c>
      <c r="G10" s="2" t="n">
        <v>1</v>
      </c>
      <c r="H10" s="0" t="s">
        <v>21</v>
      </c>
      <c r="I10" s="4" t="s">
        <v>13</v>
      </c>
    </row>
    <row r="11" customFormat="false" ht="15" hidden="false" customHeight="false" outlineLevel="0" collapsed="false">
      <c r="A11" s="2" t="n">
        <v>10</v>
      </c>
      <c r="B11" s="0" t="s">
        <v>35</v>
      </c>
      <c r="C11" s="0" t="s">
        <v>36</v>
      </c>
      <c r="D11" s="0" t="s">
        <v>30</v>
      </c>
      <c r="E11" s="3" t="n">
        <v>1058</v>
      </c>
      <c r="F11" s="3" t="n">
        <v>9.8</v>
      </c>
      <c r="G11" s="2" t="n">
        <v>1</v>
      </c>
      <c r="H11" s="0" t="s">
        <v>18</v>
      </c>
      <c r="I11" s="4" t="s">
        <v>13</v>
      </c>
    </row>
    <row r="12" customFormat="false" ht="15" hidden="false" customHeight="false" outlineLevel="0" collapsed="false">
      <c r="A12" s="2" t="n">
        <v>11</v>
      </c>
      <c r="B12" s="0" t="s">
        <v>37</v>
      </c>
      <c r="C12" s="0" t="s">
        <v>38</v>
      </c>
      <c r="D12" s="0" t="s">
        <v>30</v>
      </c>
      <c r="E12" s="3" t="n">
        <v>2446</v>
      </c>
      <c r="F12" s="3" t="n">
        <v>21.2</v>
      </c>
      <c r="G12" s="2" t="n">
        <v>1</v>
      </c>
      <c r="H12" s="0" t="s">
        <v>21</v>
      </c>
      <c r="I12" s="4" t="s">
        <v>13</v>
      </c>
    </row>
    <row r="13" customFormat="false" ht="15" hidden="false" customHeight="false" outlineLevel="0" collapsed="false">
      <c r="A13" s="2" t="n">
        <v>12</v>
      </c>
      <c r="B13" s="0" t="s">
        <v>39</v>
      </c>
      <c r="C13" s="0" t="s">
        <v>40</v>
      </c>
      <c r="D13" s="0" t="s">
        <v>30</v>
      </c>
      <c r="E13" s="3" t="n">
        <v>2973</v>
      </c>
      <c r="F13" s="3" t="n">
        <v>32.3</v>
      </c>
      <c r="G13" s="2" t="n">
        <v>1</v>
      </c>
      <c r="H13" s="0" t="s">
        <v>18</v>
      </c>
      <c r="I13" s="4" t="s">
        <v>13</v>
      </c>
    </row>
    <row r="14" customFormat="false" ht="15" hidden="false" customHeight="false" outlineLevel="0" collapsed="false">
      <c r="A14" s="2" t="n">
        <v>13</v>
      </c>
      <c r="B14" s="0" t="s">
        <v>41</v>
      </c>
      <c r="C14" s="0" t="s">
        <v>42</v>
      </c>
      <c r="D14" s="0" t="s">
        <v>30</v>
      </c>
      <c r="E14" s="3" t="n">
        <v>1694</v>
      </c>
      <c r="F14" s="3" t="n">
        <v>15</v>
      </c>
      <c r="G14" s="2" t="n">
        <v>1</v>
      </c>
      <c r="H14" s="0" t="s">
        <v>24</v>
      </c>
      <c r="I14" s="4" t="s">
        <v>13</v>
      </c>
    </row>
    <row r="15" customFormat="false" ht="15" hidden="false" customHeight="false" outlineLevel="0" collapsed="false">
      <c r="A15" s="2" t="n">
        <v>14</v>
      </c>
      <c r="B15" s="0" t="s">
        <v>43</v>
      </c>
      <c r="C15" s="0" t="s">
        <v>44</v>
      </c>
      <c r="D15" s="0" t="s">
        <v>30</v>
      </c>
      <c r="E15" s="3" t="n">
        <v>1636</v>
      </c>
      <c r="F15" s="3" t="n">
        <v>17.4</v>
      </c>
      <c r="G15" s="2" t="n">
        <v>1</v>
      </c>
      <c r="H15" s="0" t="s">
        <v>18</v>
      </c>
      <c r="I15" s="4" t="s">
        <v>13</v>
      </c>
    </row>
    <row r="16" customFormat="false" ht="15" hidden="false" customHeight="false" outlineLevel="0" collapsed="false">
      <c r="A16" s="2" t="n">
        <v>15</v>
      </c>
      <c r="B16" s="0" t="s">
        <v>45</v>
      </c>
      <c r="C16" s="0" t="s">
        <v>46</v>
      </c>
      <c r="D16" s="0" t="s">
        <v>47</v>
      </c>
      <c r="E16" s="3" t="n">
        <v>3602</v>
      </c>
      <c r="F16" s="3" t="n">
        <v>35.6</v>
      </c>
      <c r="G16" s="2" t="n">
        <v>4</v>
      </c>
      <c r="H16" s="0" t="s">
        <v>24</v>
      </c>
      <c r="I16" s="4" t="s">
        <v>13</v>
      </c>
    </row>
    <row r="17" customFormat="false" ht="15" hidden="false" customHeight="false" outlineLevel="0" collapsed="false">
      <c r="A17" s="2" t="n">
        <v>16</v>
      </c>
      <c r="B17" s="0" t="s">
        <v>48</v>
      </c>
      <c r="C17" s="0" t="s">
        <v>49</v>
      </c>
      <c r="D17" s="0" t="s">
        <v>30</v>
      </c>
      <c r="E17" s="3" t="n">
        <v>2302</v>
      </c>
      <c r="F17" s="3" t="n">
        <v>32</v>
      </c>
      <c r="G17" s="2" t="n">
        <v>9</v>
      </c>
      <c r="H17" s="0" t="s">
        <v>21</v>
      </c>
      <c r="I17" s="4" t="s">
        <v>13</v>
      </c>
    </row>
    <row r="18" customFormat="false" ht="15" hidden="false" customHeight="false" outlineLevel="0" collapsed="false">
      <c r="A18" s="2" t="n">
        <v>17</v>
      </c>
      <c r="B18" s="0" t="s">
        <v>50</v>
      </c>
      <c r="C18" s="0" t="s">
        <v>51</v>
      </c>
      <c r="D18" s="0" t="s">
        <v>47</v>
      </c>
      <c r="E18" s="3" t="n">
        <v>1926</v>
      </c>
      <c r="F18" s="3" t="n">
        <v>26.1</v>
      </c>
      <c r="G18" s="2" t="n">
        <v>11</v>
      </c>
      <c r="H18" s="0" t="s">
        <v>24</v>
      </c>
      <c r="I18" s="4" t="s">
        <v>13</v>
      </c>
    </row>
    <row r="19" customFormat="false" ht="15" hidden="false" customHeight="false" outlineLevel="0" collapsed="false">
      <c r="A19" s="2" t="n">
        <v>18</v>
      </c>
      <c r="B19" s="0" t="s">
        <v>52</v>
      </c>
      <c r="C19" s="0" t="s">
        <v>53</v>
      </c>
      <c r="D19" s="0" t="s">
        <v>47</v>
      </c>
      <c r="E19" s="3" t="n">
        <v>1843</v>
      </c>
      <c r="F19" s="3" t="n">
        <v>14.3</v>
      </c>
      <c r="G19" s="2" t="n">
        <v>13</v>
      </c>
      <c r="H19" s="0" t="s">
        <v>24</v>
      </c>
      <c r="I19" s="4" t="s">
        <v>13</v>
      </c>
    </row>
    <row r="20" customFormat="false" ht="15" hidden="false" customHeight="false" outlineLevel="0" collapsed="false">
      <c r="A20" s="2" t="n">
        <v>19</v>
      </c>
      <c r="B20" s="0" t="s">
        <v>54</v>
      </c>
      <c r="C20" s="0" t="s">
        <v>55</v>
      </c>
      <c r="D20" s="0" t="s">
        <v>30</v>
      </c>
      <c r="E20" s="3" t="n">
        <v>3083</v>
      </c>
      <c r="F20" s="3" t="n">
        <v>40.2</v>
      </c>
      <c r="G20" s="2" t="n">
        <v>9</v>
      </c>
      <c r="H20" s="0" t="s">
        <v>21</v>
      </c>
      <c r="I20" s="4" t="s">
        <v>13</v>
      </c>
    </row>
    <row r="21" customFormat="false" ht="15" hidden="false" customHeight="false" outlineLevel="0" collapsed="false">
      <c r="A21" s="2" t="n">
        <v>20</v>
      </c>
      <c r="B21" s="0" t="s">
        <v>56</v>
      </c>
      <c r="C21" s="0" t="s">
        <v>57</v>
      </c>
      <c r="D21" s="0" t="s">
        <v>47</v>
      </c>
      <c r="E21" s="3" t="n">
        <v>1148</v>
      </c>
      <c r="F21" s="3" t="n">
        <v>7.9</v>
      </c>
      <c r="G21" s="2" t="n">
        <v>9</v>
      </c>
      <c r="H21" s="0" t="s">
        <v>24</v>
      </c>
      <c r="I21" s="4" t="s">
        <v>13</v>
      </c>
    </row>
    <row r="22" customFormat="false" ht="15" hidden="false" customHeight="false" outlineLevel="0" collapsed="false">
      <c r="A22" s="2" t="n">
        <v>21</v>
      </c>
      <c r="B22" s="0" t="s">
        <v>58</v>
      </c>
      <c r="C22" s="0" t="s">
        <v>59</v>
      </c>
      <c r="D22" s="0" t="s">
        <v>47</v>
      </c>
      <c r="E22" s="3" t="n">
        <v>1886</v>
      </c>
      <c r="F22" s="3" t="n">
        <v>14</v>
      </c>
      <c r="G22" s="2" t="n">
        <v>11</v>
      </c>
      <c r="H22" s="0" t="s">
        <v>24</v>
      </c>
      <c r="I22" s="4" t="s">
        <v>13</v>
      </c>
    </row>
    <row r="23" customFormat="false" ht="15" hidden="false" customHeight="false" outlineLevel="0" collapsed="false">
      <c r="A23" s="2" t="n">
        <v>22</v>
      </c>
      <c r="B23" s="0" t="s">
        <v>60</v>
      </c>
      <c r="C23" s="0" t="s">
        <v>61</v>
      </c>
      <c r="D23" s="0" t="s">
        <v>30</v>
      </c>
      <c r="E23" s="3" t="n">
        <v>1124</v>
      </c>
      <c r="F23" s="3" t="n">
        <v>16.4</v>
      </c>
      <c r="G23" s="2" t="n">
        <v>9</v>
      </c>
      <c r="H23" s="0" t="s">
        <v>21</v>
      </c>
      <c r="I23" s="4" t="s">
        <v>13</v>
      </c>
    </row>
    <row r="24" customFormat="false" ht="15" hidden="false" customHeight="false" outlineLevel="0" collapsed="false">
      <c r="A24" s="2" t="n">
        <v>23</v>
      </c>
      <c r="B24" s="0" t="s">
        <v>62</v>
      </c>
      <c r="C24" s="0" t="s">
        <v>63</v>
      </c>
      <c r="D24" s="0" t="s">
        <v>47</v>
      </c>
      <c r="E24" s="3" t="n">
        <v>3458</v>
      </c>
      <c r="F24" s="3" t="n">
        <v>28.4</v>
      </c>
      <c r="G24" s="2" t="n">
        <v>7</v>
      </c>
      <c r="H24" s="0" t="s">
        <v>24</v>
      </c>
      <c r="I24" s="4" t="s">
        <v>13</v>
      </c>
    </row>
    <row r="25" customFormat="false" ht="15" hidden="false" customHeight="false" outlineLevel="0" collapsed="false">
      <c r="A25" s="2" t="n">
        <v>24</v>
      </c>
      <c r="B25" s="0" t="s">
        <v>64</v>
      </c>
      <c r="C25" s="0" t="s">
        <v>65</v>
      </c>
      <c r="D25" s="0" t="s">
        <v>47</v>
      </c>
      <c r="E25" s="3" t="n">
        <v>2434</v>
      </c>
      <c r="F25" s="3" t="n">
        <v>18</v>
      </c>
      <c r="G25" s="2" t="n">
        <v>8</v>
      </c>
      <c r="H25" s="0" t="s">
        <v>24</v>
      </c>
      <c r="I25" s="4" t="s">
        <v>13</v>
      </c>
    </row>
    <row r="26" customFormat="false" ht="15" hidden="false" customHeight="false" outlineLevel="0" collapsed="false">
      <c r="A26" s="2" t="n">
        <v>25</v>
      </c>
      <c r="B26" s="0" t="s">
        <v>66</v>
      </c>
      <c r="C26" s="0" t="s">
        <v>67</v>
      </c>
      <c r="D26" s="0" t="s">
        <v>11</v>
      </c>
      <c r="E26" s="3" t="n">
        <v>1075</v>
      </c>
      <c r="F26" s="3" t="n">
        <v>7.5</v>
      </c>
      <c r="G26" s="2" t="n">
        <v>5</v>
      </c>
      <c r="H26" s="0" t="s">
        <v>12</v>
      </c>
      <c r="I26" s="4" t="s">
        <v>13</v>
      </c>
    </row>
    <row r="27" customFormat="false" ht="15" hidden="false" customHeight="false" outlineLevel="0" collapsed="false">
      <c r="A27" s="2" t="n">
        <v>26</v>
      </c>
      <c r="B27" s="0" t="s">
        <v>68</v>
      </c>
      <c r="C27" s="0" t="s">
        <v>69</v>
      </c>
      <c r="D27" s="0" t="s">
        <v>70</v>
      </c>
      <c r="E27" s="3" t="n">
        <v>158</v>
      </c>
      <c r="F27" s="3" t="n">
        <v>1.6</v>
      </c>
      <c r="G27" s="2" t="n">
        <v>0</v>
      </c>
      <c r="H27" s="0" t="s">
        <v>71</v>
      </c>
      <c r="I27" s="5" t="s">
        <v>72</v>
      </c>
    </row>
    <row r="28" customFormat="false" ht="15" hidden="false" customHeight="false" outlineLevel="0" collapsed="false">
      <c r="A28" s="2" t="n">
        <v>27</v>
      </c>
      <c r="B28" s="0" t="s">
        <v>73</v>
      </c>
      <c r="C28" s="0" t="s">
        <v>74</v>
      </c>
      <c r="D28" s="0" t="s">
        <v>70</v>
      </c>
      <c r="E28" s="3" t="n">
        <v>10057</v>
      </c>
      <c r="F28" s="3" t="n">
        <v>70.9</v>
      </c>
      <c r="G28" s="2" t="n">
        <v>0</v>
      </c>
      <c r="H28" s="0" t="s">
        <v>71</v>
      </c>
      <c r="I28" s="4" t="s">
        <v>13</v>
      </c>
    </row>
    <row r="29" customFormat="false" ht="15" hidden="false" customHeight="false" outlineLevel="0" collapsed="false">
      <c r="A29" s="2" t="n">
        <v>28</v>
      </c>
      <c r="B29" s="0" t="s">
        <v>75</v>
      </c>
      <c r="C29" s="0" t="s">
        <v>76</v>
      </c>
      <c r="D29" s="0" t="s">
        <v>70</v>
      </c>
      <c r="E29" s="3" t="n">
        <v>206</v>
      </c>
      <c r="F29" s="3" t="n">
        <v>1.3</v>
      </c>
      <c r="G29" s="2" t="n">
        <v>0</v>
      </c>
      <c r="H29" s="0" t="s">
        <v>71</v>
      </c>
      <c r="I29" s="4" t="s">
        <v>13</v>
      </c>
    </row>
    <row r="30" customFormat="false" ht="15" hidden="false" customHeight="false" outlineLevel="0" collapsed="false">
      <c r="A30" s="2" t="n">
        <v>29</v>
      </c>
      <c r="B30" s="0" t="s">
        <v>77</v>
      </c>
      <c r="C30" s="0" t="s">
        <v>78</v>
      </c>
      <c r="D30" s="0" t="s">
        <v>70</v>
      </c>
      <c r="E30" s="3" t="n">
        <v>217</v>
      </c>
      <c r="F30" s="3" t="n">
        <v>1.3</v>
      </c>
      <c r="G30" s="2" t="n">
        <v>0</v>
      </c>
      <c r="H30" s="0" t="s">
        <v>71</v>
      </c>
      <c r="I30" s="4" t="s">
        <v>13</v>
      </c>
    </row>
    <row r="31" customFormat="false" ht="15" hidden="false" customHeight="false" outlineLevel="0" collapsed="false">
      <c r="A31" s="2" t="n">
        <v>30</v>
      </c>
      <c r="B31" s="0" t="s">
        <v>79</v>
      </c>
      <c r="C31" s="0" t="s">
        <v>80</v>
      </c>
      <c r="D31" s="0" t="s">
        <v>70</v>
      </c>
      <c r="E31" s="3" t="n">
        <v>0</v>
      </c>
      <c r="F31" s="3" t="n">
        <v>0</v>
      </c>
      <c r="G31" s="2" t="n">
        <v>0</v>
      </c>
      <c r="H31" s="0" t="s">
        <v>71</v>
      </c>
      <c r="I31" s="5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5"/>
  </cols>
  <sheetData>
    <row r="1" customFormat="false" ht="15" hidden="false" customHeight="false" outlineLevel="0" collapsed="false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</row>
    <row r="2" customFormat="false" ht="15" hidden="false" customHeight="false" outlineLevel="0" collapsed="false">
      <c r="A2" s="0" t="s">
        <v>12</v>
      </c>
      <c r="B2" s="0" t="n">
        <v>3</v>
      </c>
      <c r="C2" s="0" t="s">
        <v>88</v>
      </c>
      <c r="D2" s="0" t="n">
        <f aca="false">26+9.3+7.5</f>
        <v>42.8</v>
      </c>
      <c r="E2" s="0" t="n">
        <f aca="false">AVERAGE(1392,1537,1075)</f>
        <v>1334.66666666667</v>
      </c>
      <c r="F2" s="0" t="s">
        <v>89</v>
      </c>
    </row>
    <row r="3" customFormat="false" ht="15" hidden="false" customHeight="false" outlineLevel="0" collapsed="false">
      <c r="A3" s="0" t="s">
        <v>21</v>
      </c>
      <c r="B3" s="0" t="n">
        <v>5</v>
      </c>
      <c r="C3" s="0" t="s">
        <v>90</v>
      </c>
      <c r="D3" s="0" t="n">
        <f aca="false">86.6+9.8+21.2+32+40.2+16.4</f>
        <v>206.2</v>
      </c>
      <c r="E3" s="0" t="n">
        <f aca="false">(7810+1282+2446+2302+3083+1124)/6</f>
        <v>3007.83333333333</v>
      </c>
      <c r="F3" s="0" t="s">
        <v>91</v>
      </c>
    </row>
    <row r="4" customFormat="false" ht="15" hidden="false" customHeight="false" outlineLevel="0" collapsed="false">
      <c r="A4" s="0" t="s">
        <v>24</v>
      </c>
      <c r="B4" s="0" t="n">
        <v>9</v>
      </c>
      <c r="C4" s="0" t="s">
        <v>92</v>
      </c>
      <c r="D4" s="0" t="n">
        <f aca="false">18.4+15+35.6+26.1+14.3+7.9+14+28.4+18</f>
        <v>177.7</v>
      </c>
      <c r="E4" s="0" t="n">
        <f aca="false">(2333+1694+3602+1926+1843+1148+1886+3458+2434)/9</f>
        <v>2258.22222222222</v>
      </c>
      <c r="F4" s="0" t="s">
        <v>93</v>
      </c>
    </row>
    <row r="5" customFormat="false" ht="15" hidden="false" customHeight="false" outlineLevel="0" collapsed="false">
      <c r="A5" s="0" t="s">
        <v>18</v>
      </c>
      <c r="B5" s="0" t="n">
        <v>5</v>
      </c>
      <c r="C5" s="0" t="s">
        <v>94</v>
      </c>
      <c r="D5" s="0" t="n">
        <f aca="false">32.8+9.8+32.3+17.4+16.9</f>
        <v>109.2</v>
      </c>
      <c r="E5" s="0" t="n">
        <f aca="false">(4093+1058+2973+1636+2437)/5</f>
        <v>2439.4</v>
      </c>
      <c r="F5" s="0" t="s">
        <v>95</v>
      </c>
    </row>
    <row r="6" customFormat="false" ht="15" hidden="false" customHeight="false" outlineLevel="0" collapsed="false">
      <c r="A6" s="0" t="s">
        <v>27</v>
      </c>
      <c r="B6" s="0" t="n">
        <v>6</v>
      </c>
      <c r="C6" s="0" t="s">
        <v>96</v>
      </c>
      <c r="D6" s="0" t="n">
        <f aca="false">16.9+13.7+7.7+21.2+32.3+17.4</f>
        <v>109.2</v>
      </c>
      <c r="E6" s="0" t="n">
        <f aca="false">(2437+1300+821+2446+2973+1636)/6</f>
        <v>1935.5</v>
      </c>
      <c r="F6" s="0" t="s">
        <v>97</v>
      </c>
    </row>
    <row r="7" customFormat="false" ht="15" hidden="false" customHeight="false" outlineLevel="0" collapsed="false">
      <c r="A7" s="0" t="s">
        <v>71</v>
      </c>
      <c r="B7" s="0" t="n">
        <v>5</v>
      </c>
      <c r="C7" s="0" t="s">
        <v>98</v>
      </c>
      <c r="D7" s="0" t="n">
        <f aca="false">70.9+1.6+1.3+1.3+0</f>
        <v>75.1</v>
      </c>
      <c r="E7" s="0" t="n">
        <f aca="false">(10057+158+206+217+0)/5</f>
        <v>2127.6</v>
      </c>
      <c r="F7" s="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35"/>
  </cols>
  <sheetData>
    <row r="1" customFormat="false" ht="15" hidden="false" customHeight="false" outlineLevel="0" collapsed="false">
      <c r="A1" s="7" t="s">
        <v>100</v>
      </c>
      <c r="B1" s="7" t="s">
        <v>101</v>
      </c>
      <c r="C1" s="7" t="s">
        <v>102</v>
      </c>
      <c r="D1" s="7" t="s">
        <v>103</v>
      </c>
      <c r="E1" s="7" t="s">
        <v>104</v>
      </c>
    </row>
    <row r="2" customFormat="false" ht="15" hidden="false" customHeight="false" outlineLevel="0" collapsed="false">
      <c r="A2" s="0" t="s">
        <v>105</v>
      </c>
      <c r="B2" s="0" t="s">
        <v>106</v>
      </c>
      <c r="C2" s="0" t="s">
        <v>107</v>
      </c>
      <c r="D2" s="0" t="s">
        <v>108</v>
      </c>
      <c r="E2" s="0" t="s">
        <v>109</v>
      </c>
    </row>
    <row r="3" customFormat="false" ht="15" hidden="false" customHeight="false" outlineLevel="0" collapsed="false">
      <c r="A3" s="0" t="s">
        <v>105</v>
      </c>
      <c r="B3" s="0" t="s">
        <v>110</v>
      </c>
      <c r="C3" s="0" t="s">
        <v>111</v>
      </c>
      <c r="D3" s="0" t="s">
        <v>108</v>
      </c>
      <c r="E3" s="0" t="s">
        <v>112</v>
      </c>
    </row>
    <row r="4" customFormat="false" ht="15" hidden="false" customHeight="false" outlineLevel="0" collapsed="false">
      <c r="A4" s="0" t="s">
        <v>105</v>
      </c>
      <c r="B4" s="0" t="s">
        <v>113</v>
      </c>
      <c r="C4" s="0" t="s">
        <v>114</v>
      </c>
      <c r="D4" s="0" t="s">
        <v>108</v>
      </c>
      <c r="E4" s="0" t="s">
        <v>115</v>
      </c>
    </row>
    <row r="5" customFormat="false" ht="15" hidden="false" customHeight="false" outlineLevel="0" collapsed="false">
      <c r="A5" s="0" t="s">
        <v>105</v>
      </c>
      <c r="B5" s="0" t="s">
        <v>116</v>
      </c>
      <c r="C5" s="0" t="s">
        <v>117</v>
      </c>
      <c r="D5" s="0" t="s">
        <v>108</v>
      </c>
      <c r="E5" s="0" t="s">
        <v>118</v>
      </c>
    </row>
    <row r="6" customFormat="false" ht="15" hidden="false" customHeight="false" outlineLevel="0" collapsed="false">
      <c r="A6" s="0" t="s">
        <v>105</v>
      </c>
      <c r="B6" s="0" t="s">
        <v>119</v>
      </c>
      <c r="C6" s="0" t="s">
        <v>120</v>
      </c>
      <c r="D6" s="0" t="s">
        <v>121</v>
      </c>
      <c r="E6" s="0" t="s">
        <v>122</v>
      </c>
    </row>
    <row r="7" customFormat="false" ht="15" hidden="false" customHeight="false" outlineLevel="0" collapsed="false">
      <c r="A7" s="0" t="s">
        <v>123</v>
      </c>
      <c r="B7" s="0" t="s">
        <v>124</v>
      </c>
      <c r="C7" s="0" t="s">
        <v>79</v>
      </c>
      <c r="D7" s="0" t="s">
        <v>121</v>
      </c>
      <c r="E7" s="0" t="s">
        <v>125</v>
      </c>
    </row>
    <row r="8" customFormat="false" ht="15" hidden="false" customHeight="false" outlineLevel="0" collapsed="false">
      <c r="A8" s="0" t="s">
        <v>71</v>
      </c>
      <c r="B8" s="0" t="s">
        <v>126</v>
      </c>
      <c r="C8" s="0" t="s">
        <v>68</v>
      </c>
      <c r="D8" s="0" t="s">
        <v>108</v>
      </c>
      <c r="E8" s="0" t="s">
        <v>127</v>
      </c>
    </row>
    <row r="9" customFormat="false" ht="15" hidden="false" customHeight="false" outlineLevel="0" collapsed="false">
      <c r="A9" s="0" t="s">
        <v>128</v>
      </c>
      <c r="B9" s="0" t="s">
        <v>129</v>
      </c>
      <c r="C9" s="0" t="s">
        <v>130</v>
      </c>
      <c r="D9" s="0" t="s">
        <v>131</v>
      </c>
      <c r="E9" s="0" t="s">
        <v>132</v>
      </c>
    </row>
    <row r="10" customFormat="false" ht="15" hidden="false" customHeight="false" outlineLevel="0" collapsed="false">
      <c r="A10" s="0" t="s">
        <v>133</v>
      </c>
      <c r="B10" s="0" t="s">
        <v>134</v>
      </c>
      <c r="C10" s="0" t="s">
        <v>66</v>
      </c>
      <c r="D10" s="0" t="s">
        <v>131</v>
      </c>
      <c r="E10" s="0" t="s">
        <v>135</v>
      </c>
    </row>
    <row r="11" customFormat="false" ht="15" hidden="false" customHeight="false" outlineLevel="0" collapsed="false">
      <c r="A11" s="0" t="s">
        <v>136</v>
      </c>
      <c r="B11" s="0" t="s">
        <v>137</v>
      </c>
      <c r="C11" s="0" t="s">
        <v>130</v>
      </c>
      <c r="D11" s="0" t="s">
        <v>131</v>
      </c>
      <c r="E11" s="0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8" t="s">
        <v>139</v>
      </c>
      <c r="B1" s="8" t="s">
        <v>140</v>
      </c>
      <c r="C1" s="8" t="s">
        <v>141</v>
      </c>
      <c r="D1" s="8" t="s">
        <v>142</v>
      </c>
      <c r="E1" s="8" t="s">
        <v>143</v>
      </c>
      <c r="F1" s="8" t="s">
        <v>144</v>
      </c>
    </row>
    <row r="2" customFormat="false" ht="15" hidden="false" customHeight="false" outlineLevel="0" collapsed="false">
      <c r="A2" s="0" t="s">
        <v>145</v>
      </c>
      <c r="B2" s="0" t="s">
        <v>146</v>
      </c>
      <c r="C2" s="0" t="s">
        <v>147</v>
      </c>
      <c r="D2" s="0" t="s">
        <v>148</v>
      </c>
      <c r="E2" s="0" t="s">
        <v>149</v>
      </c>
      <c r="F2" s="0" t="s">
        <v>150</v>
      </c>
    </row>
    <row r="3" customFormat="false" ht="15" hidden="false" customHeight="false" outlineLevel="0" collapsed="false">
      <c r="A3" s="0" t="s">
        <v>145</v>
      </c>
      <c r="B3" s="0" t="s">
        <v>151</v>
      </c>
      <c r="C3" s="0" t="s">
        <v>152</v>
      </c>
      <c r="D3" s="0" t="s">
        <v>153</v>
      </c>
      <c r="E3" s="0" t="s">
        <v>154</v>
      </c>
      <c r="F3" s="0" t="s">
        <v>155</v>
      </c>
    </row>
    <row r="4" customFormat="false" ht="15" hidden="false" customHeight="false" outlineLevel="0" collapsed="false">
      <c r="A4" s="0" t="s">
        <v>156</v>
      </c>
      <c r="B4" s="0" t="s">
        <v>157</v>
      </c>
      <c r="C4" s="0" t="s">
        <v>158</v>
      </c>
      <c r="D4" s="0" t="s">
        <v>159</v>
      </c>
      <c r="E4" s="0" t="s">
        <v>160</v>
      </c>
      <c r="F4" s="0" t="s">
        <v>161</v>
      </c>
    </row>
    <row r="5" customFormat="false" ht="15" hidden="false" customHeight="false" outlineLevel="0" collapsed="false">
      <c r="A5" s="0" t="s">
        <v>156</v>
      </c>
      <c r="B5" s="0" t="s">
        <v>162</v>
      </c>
      <c r="C5" s="0" t="s">
        <v>163</v>
      </c>
      <c r="D5" s="0" t="s">
        <v>164</v>
      </c>
      <c r="E5" s="0" t="s">
        <v>165</v>
      </c>
      <c r="F5" s="0" t="s">
        <v>155</v>
      </c>
    </row>
    <row r="6" customFormat="false" ht="15" hidden="false" customHeight="false" outlineLevel="0" collapsed="false">
      <c r="A6" s="0" t="s">
        <v>156</v>
      </c>
      <c r="B6" s="0" t="s">
        <v>166</v>
      </c>
      <c r="C6" s="0" t="s">
        <v>167</v>
      </c>
      <c r="D6" s="0" t="s">
        <v>168</v>
      </c>
      <c r="E6" s="0" t="s">
        <v>169</v>
      </c>
      <c r="F6" s="0" t="s">
        <v>155</v>
      </c>
    </row>
    <row r="7" customFormat="false" ht="15" hidden="false" customHeight="false" outlineLevel="0" collapsed="false">
      <c r="A7" s="0" t="s">
        <v>170</v>
      </c>
      <c r="B7" s="0" t="s">
        <v>171</v>
      </c>
      <c r="C7" s="0" t="s">
        <v>172</v>
      </c>
      <c r="D7" s="0" t="s">
        <v>173</v>
      </c>
      <c r="E7" s="0" t="s">
        <v>174</v>
      </c>
      <c r="F7" s="0" t="s">
        <v>150</v>
      </c>
    </row>
    <row r="8" customFormat="false" ht="15" hidden="false" customHeight="false" outlineLevel="0" collapsed="false">
      <c r="A8" s="0" t="s">
        <v>170</v>
      </c>
      <c r="B8" s="0" t="s">
        <v>175</v>
      </c>
      <c r="C8" s="0" t="s">
        <v>176</v>
      </c>
      <c r="D8" s="0" t="s">
        <v>177</v>
      </c>
      <c r="E8" s="0" t="s">
        <v>178</v>
      </c>
      <c r="F8" s="0" t="s">
        <v>150</v>
      </c>
    </row>
    <row r="9" customFormat="false" ht="15" hidden="false" customHeight="false" outlineLevel="0" collapsed="false">
      <c r="A9" s="0" t="s">
        <v>170</v>
      </c>
      <c r="B9" s="0" t="s">
        <v>179</v>
      </c>
      <c r="C9" s="0" t="s">
        <v>180</v>
      </c>
      <c r="D9" s="0" t="s">
        <v>181</v>
      </c>
      <c r="E9" s="0" t="s">
        <v>182</v>
      </c>
      <c r="F9" s="0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0" t="s">
        <v>184</v>
      </c>
      <c r="B1" s="0" t="s">
        <v>185</v>
      </c>
    </row>
    <row r="2" customFormat="false" ht="15" hidden="false" customHeight="false" outlineLevel="0" collapsed="false">
      <c r="A2" s="0" t="s">
        <v>186</v>
      </c>
      <c r="B2" s="0" t="n">
        <v>30</v>
      </c>
    </row>
    <row r="3" customFormat="false" ht="15" hidden="false" customHeight="false" outlineLevel="0" collapsed="false">
      <c r="A3" s="0" t="s">
        <v>187</v>
      </c>
      <c r="B3" s="0" t="n">
        <f aca="false">SUM(C2:C24)</f>
        <v>0</v>
      </c>
    </row>
    <row r="4" customFormat="false" ht="15" hidden="false" customHeight="false" outlineLevel="0" collapsed="false">
      <c r="A4" s="0" t="s">
        <v>188</v>
      </c>
      <c r="B4" s="0" t="n">
        <f aca="false">SUM(F2:F24)</f>
        <v>0</v>
      </c>
    </row>
    <row r="5" customFormat="false" ht="15" hidden="false" customHeight="false" outlineLevel="0" collapsed="false">
      <c r="A5" s="0" t="s">
        <v>189</v>
      </c>
      <c r="B5" s="0" t="n">
        <f aca="false">COUNTIF(D2:D24,"Core")+COUNTIF(D2:D24,"Feature")</f>
        <v>0</v>
      </c>
    </row>
    <row r="6" customFormat="false" ht="15" hidden="false" customHeight="false" outlineLevel="0" collapsed="false">
      <c r="A6" s="0" t="s">
        <v>190</v>
      </c>
      <c r="B6" s="0" t="n">
        <f aca="false">COUNTIF(D2:D24,"Technical")</f>
        <v>0</v>
      </c>
    </row>
    <row r="7" customFormat="false" ht="15" hidden="false" customHeight="false" outlineLevel="0" collapsed="false">
      <c r="A7" s="0" t="s">
        <v>191</v>
      </c>
      <c r="B7" s="0" t="n">
        <f aca="false">COUNTIF(D2:D24,"Meta")</f>
        <v>0</v>
      </c>
    </row>
    <row r="8" customFormat="false" ht="15" hidden="false" customHeight="false" outlineLevel="0" collapsed="false">
      <c r="A8" s="0" t="s">
        <v>192</v>
      </c>
      <c r="B8" s="0" t="n">
        <v>6</v>
      </c>
    </row>
    <row r="9" customFormat="false" ht="15" hidden="false" customHeight="false" outlineLevel="0" collapsed="false">
      <c r="A9" s="0" t="s">
        <v>193</v>
      </c>
      <c r="B9" s="0" t="s">
        <v>194</v>
      </c>
    </row>
    <row r="11" customFormat="false" ht="15" hidden="false" customHeight="false" outlineLevel="0" collapsed="false">
      <c r="A11" s="0" t="s">
        <v>195</v>
      </c>
    </row>
    <row r="12" customFormat="false" ht="15" hidden="false" customHeight="false" outlineLevel="0" collapsed="false">
      <c r="A12" s="0" t="s">
        <v>196</v>
      </c>
      <c r="B12" s="0" t="n">
        <v>5</v>
      </c>
    </row>
    <row r="13" customFormat="false" ht="15" hidden="false" customHeight="false" outlineLevel="0" collapsed="false">
      <c r="A13" s="0" t="s">
        <v>197</v>
      </c>
      <c r="B13" s="0" t="n">
        <v>5</v>
      </c>
    </row>
    <row r="14" customFormat="false" ht="15" hidden="false" customHeight="false" outlineLevel="0" collapsed="false">
      <c r="A14" s="0" t="s">
        <v>198</v>
      </c>
      <c r="B14" s="0" t="n">
        <v>2</v>
      </c>
    </row>
    <row r="15" customFormat="false" ht="15" hidden="false" customHeight="false" outlineLevel="0" collapsed="false">
      <c r="A15" s="0" t="s">
        <v>199</v>
      </c>
      <c r="B15" s="9" t="n">
        <f aca="true">TODAY()</f>
        <v>46088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2026-03-07T12:05:15Z</dcterms:created>
  <dc:creator>openpyxl</dc:creator>
  <dc:description/>
  <dc:language>en-US</dc:language>
  <cp:lastModifiedBy/>
  <dcterms:modified xsi:type="dcterms:W3CDTF">2026-03-07T12:05:15Z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